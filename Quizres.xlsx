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glio1" sheetId="1" r:id="rId5"/>
  </sheets>
  <definedNames/>
  <calcPr/>
</workbook>
</file>

<file path=xl/sharedStrings.xml><?xml version="1.0" encoding="utf-8"?>
<sst xmlns="http://schemas.openxmlformats.org/spreadsheetml/2006/main" count="332" uniqueCount="30">
  <si>
    <t>Informazioni cronologiche</t>
  </si>
  <si>
    <t>2026/02/25 5:05:34 PM CET</t>
  </si>
  <si>
    <t>Right</t>
  </si>
  <si>
    <t>Left</t>
  </si>
  <si>
    <t>2026/02/25 5:11:08 PM CET</t>
  </si>
  <si>
    <t>2026/02/25 5:20:07 PM CET</t>
  </si>
  <si>
    <t>2026/02/25 5:24:08 PM CET</t>
  </si>
  <si>
    <t>2026/02/25 5:28:25 PM CET</t>
  </si>
  <si>
    <t>2026/02/25 5:41:29 PM CET</t>
  </si>
  <si>
    <t>2026/02/25 5:57:57 PM CET</t>
  </si>
  <si>
    <t>2026/02/25 7:36:49 PM CET</t>
  </si>
  <si>
    <t>2026/02/25 8:40:19 PM CET</t>
  </si>
  <si>
    <t>2026/02/25 10:04:05 PM CET</t>
  </si>
  <si>
    <t>2026/02/25 11:42:41 PM CET</t>
  </si>
  <si>
    <t>mean</t>
  </si>
  <si>
    <t>ratio</t>
  </si>
  <si>
    <t>winner</t>
  </si>
  <si>
    <t>qwen code</t>
  </si>
  <si>
    <t>BASE</t>
  </si>
  <si>
    <t>PR</t>
  </si>
  <si>
    <t>TIE</t>
  </si>
  <si>
    <t>HexRays</t>
  </si>
  <si>
    <t>Ghidra</t>
  </si>
  <si>
    <t>BinaryNinja</t>
  </si>
  <si>
    <t>qwen ast</t>
  </si>
  <si>
    <t>deep code</t>
  </si>
  <si>
    <t>deep ast</t>
  </si>
  <si>
    <t>base/pr</t>
  </si>
  <si>
    <t>delta ppl</t>
  </si>
  <si>
    <t>delta ppl ast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</si>
</sst>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  <fill>
      <patternFill patternType="solid">
        <fgColor rgb="FFC9DAF8"/>
        <bgColor rgb="FFC9DAF8"/>
      </patternFill>
    </fill>
    <fill>
      <patternFill patternType="solid">
        <fgColor rgb="FFF9CB9C"/>
        <bgColor rgb="FFF9CB9C"/>
      </patternFill>
    </fill>
    <fill>
      <patternFill patternType="solid">
        <fgColor rgb="FF93C47D"/>
        <bgColor rgb="FF93C47D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/>
    </xf>
    <xf borderId="0" fillId="3" fontId="1" numFmtId="0" xfId="0" applyAlignment="1" applyFill="1" applyFont="1">
      <alignment horizontal="left" readingOrder="0"/>
    </xf>
    <xf borderId="0" fillId="4" fontId="1" numFmtId="0" xfId="0" applyAlignment="1" applyFill="1" applyFont="1">
      <alignment horizontal="left" readingOrder="0"/>
    </xf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horizontal="left"/>
    </xf>
    <xf borderId="0" fillId="0" fontId="1" numFmtId="0" xfId="0" applyAlignment="1" applyFont="1">
      <alignment readingOrder="0"/>
    </xf>
    <xf borderId="0" fillId="0" fontId="1" numFmtId="0" xfId="0" applyFont="1"/>
    <xf borderId="0" fillId="5" fontId="1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3.0"/>
  </cols>
  <sheetData>
    <row r="2">
      <c r="B2" s="1" t="s">
        <v>0</v>
      </c>
      <c r="C2" s="1">
        <v>1.0</v>
      </c>
      <c r="D2" s="1">
        <v>2.0</v>
      </c>
      <c r="E2" s="1">
        <v>3.0</v>
      </c>
      <c r="F2" s="1">
        <v>4.0</v>
      </c>
      <c r="G2" s="1">
        <v>5.0</v>
      </c>
      <c r="H2" s="1">
        <v>6.0</v>
      </c>
      <c r="I2" s="1">
        <v>7.0</v>
      </c>
      <c r="J2" s="1">
        <v>8.0</v>
      </c>
      <c r="K2" s="1">
        <v>9.0</v>
      </c>
      <c r="L2" s="1">
        <v>10.0</v>
      </c>
      <c r="M2" s="1">
        <v>11.0</v>
      </c>
      <c r="N2" s="1">
        <v>12.0</v>
      </c>
      <c r="O2" s="1">
        <v>13.0</v>
      </c>
      <c r="P2" s="1">
        <v>14.0</v>
      </c>
      <c r="Q2" s="2">
        <v>15.0</v>
      </c>
      <c r="R2" s="3">
        <v>16.0</v>
      </c>
      <c r="S2" s="3">
        <v>17.0</v>
      </c>
      <c r="T2" s="3">
        <v>18.0</v>
      </c>
      <c r="U2" s="3">
        <v>19.0</v>
      </c>
      <c r="V2" s="3">
        <v>20.0</v>
      </c>
      <c r="W2" s="3">
        <v>21.0</v>
      </c>
    </row>
    <row r="3">
      <c r="B3" s="4" t="s">
        <v>1</v>
      </c>
      <c r="C3" s="4" t="s">
        <v>2</v>
      </c>
      <c r="D3" s="4" t="s">
        <v>2</v>
      </c>
      <c r="E3" s="4" t="s">
        <v>2</v>
      </c>
      <c r="F3" s="4" t="s">
        <v>2</v>
      </c>
      <c r="G3" s="4" t="s">
        <v>2</v>
      </c>
      <c r="H3" s="4" t="s">
        <v>2</v>
      </c>
      <c r="I3" s="4" t="s">
        <v>2</v>
      </c>
      <c r="J3" s="4" t="s">
        <v>2</v>
      </c>
      <c r="K3" s="4" t="s">
        <v>3</v>
      </c>
      <c r="L3" s="4" t="s">
        <v>2</v>
      </c>
      <c r="M3" s="4" t="s">
        <v>2</v>
      </c>
      <c r="N3" s="4" t="s">
        <v>2</v>
      </c>
      <c r="O3" s="4" t="s">
        <v>2</v>
      </c>
      <c r="P3" s="4" t="s">
        <v>2</v>
      </c>
      <c r="Q3" s="4" t="s">
        <v>3</v>
      </c>
      <c r="R3" s="4" t="s">
        <v>3</v>
      </c>
      <c r="S3" s="4" t="s">
        <v>3</v>
      </c>
      <c r="T3" s="4" t="s">
        <v>2</v>
      </c>
      <c r="U3" s="4" t="s">
        <v>3</v>
      </c>
      <c r="V3" s="4" t="s">
        <v>3</v>
      </c>
      <c r="W3" s="4" t="s">
        <v>3</v>
      </c>
    </row>
    <row r="4">
      <c r="B4" s="4" t="s">
        <v>4</v>
      </c>
      <c r="C4" s="4" t="s">
        <v>3</v>
      </c>
      <c r="D4" s="4" t="s">
        <v>2</v>
      </c>
      <c r="E4" s="4" t="s">
        <v>2</v>
      </c>
      <c r="F4" s="4" t="s">
        <v>2</v>
      </c>
      <c r="G4" s="4" t="s">
        <v>2</v>
      </c>
      <c r="H4" s="4" t="s">
        <v>2</v>
      </c>
      <c r="I4" s="4" t="s">
        <v>2</v>
      </c>
      <c r="J4" s="4" t="s">
        <v>3</v>
      </c>
      <c r="K4" s="4" t="s">
        <v>3</v>
      </c>
      <c r="L4" s="4" t="s">
        <v>2</v>
      </c>
      <c r="M4" s="4" t="s">
        <v>2</v>
      </c>
      <c r="N4" s="4" t="s">
        <v>2</v>
      </c>
      <c r="O4" s="4" t="s">
        <v>2</v>
      </c>
      <c r="P4" s="4" t="s">
        <v>2</v>
      </c>
      <c r="Q4" s="4" t="s">
        <v>3</v>
      </c>
      <c r="R4" s="4" t="s">
        <v>3</v>
      </c>
      <c r="S4" s="4" t="s">
        <v>2</v>
      </c>
      <c r="T4" s="4" t="s">
        <v>2</v>
      </c>
      <c r="U4" s="4" t="s">
        <v>3</v>
      </c>
      <c r="V4" s="4" t="s">
        <v>2</v>
      </c>
      <c r="W4" s="4" t="s">
        <v>3</v>
      </c>
    </row>
    <row r="5">
      <c r="B5" s="4" t="s">
        <v>5</v>
      </c>
      <c r="C5" s="4" t="s">
        <v>3</v>
      </c>
      <c r="D5" s="5"/>
      <c r="E5" s="4" t="s">
        <v>2</v>
      </c>
      <c r="F5" s="4" t="s">
        <v>2</v>
      </c>
      <c r="G5" s="4" t="s">
        <v>2</v>
      </c>
      <c r="H5" s="4" t="s">
        <v>2</v>
      </c>
      <c r="I5" s="4" t="s">
        <v>2</v>
      </c>
      <c r="J5" s="4" t="s">
        <v>2</v>
      </c>
      <c r="K5" s="4" t="s">
        <v>3</v>
      </c>
      <c r="L5" s="4" t="s">
        <v>2</v>
      </c>
      <c r="M5" s="4" t="s">
        <v>2</v>
      </c>
      <c r="N5" s="4" t="s">
        <v>2</v>
      </c>
      <c r="O5" s="4" t="s">
        <v>3</v>
      </c>
      <c r="P5" s="4" t="s">
        <v>2</v>
      </c>
      <c r="Q5" s="4" t="s">
        <v>3</v>
      </c>
      <c r="R5" s="4" t="s">
        <v>3</v>
      </c>
      <c r="S5" s="4" t="s">
        <v>2</v>
      </c>
      <c r="T5" s="4" t="s">
        <v>2</v>
      </c>
      <c r="U5" s="4" t="s">
        <v>3</v>
      </c>
      <c r="V5" s="5"/>
      <c r="W5" s="4" t="s">
        <v>3</v>
      </c>
    </row>
    <row r="6">
      <c r="B6" s="4" t="s">
        <v>6</v>
      </c>
      <c r="C6" s="4" t="s">
        <v>2</v>
      </c>
      <c r="D6" s="4" t="s">
        <v>3</v>
      </c>
      <c r="E6" s="4" t="s">
        <v>2</v>
      </c>
      <c r="F6" s="4" t="s">
        <v>2</v>
      </c>
      <c r="G6" s="4" t="s">
        <v>2</v>
      </c>
      <c r="H6" s="4" t="s">
        <v>2</v>
      </c>
      <c r="I6" s="4" t="s">
        <v>3</v>
      </c>
      <c r="J6" s="4" t="s">
        <v>2</v>
      </c>
      <c r="K6" s="4" t="s">
        <v>3</v>
      </c>
      <c r="L6" s="4" t="s">
        <v>3</v>
      </c>
      <c r="M6" s="4" t="s">
        <v>2</v>
      </c>
      <c r="N6" s="4" t="s">
        <v>2</v>
      </c>
      <c r="O6" s="4" t="s">
        <v>3</v>
      </c>
      <c r="P6" s="4" t="s">
        <v>2</v>
      </c>
      <c r="Q6" s="4" t="s">
        <v>2</v>
      </c>
      <c r="R6" s="4" t="s">
        <v>2</v>
      </c>
      <c r="S6" s="4" t="s">
        <v>2</v>
      </c>
      <c r="T6" s="4" t="s">
        <v>2</v>
      </c>
      <c r="U6" s="4" t="s">
        <v>2</v>
      </c>
      <c r="V6" s="4" t="s">
        <v>3</v>
      </c>
      <c r="W6" s="4" t="s">
        <v>3</v>
      </c>
    </row>
    <row r="7">
      <c r="B7" s="4" t="s">
        <v>7</v>
      </c>
      <c r="C7" s="4" t="s">
        <v>3</v>
      </c>
      <c r="D7" s="4" t="s">
        <v>3</v>
      </c>
      <c r="E7" s="4" t="s">
        <v>2</v>
      </c>
      <c r="F7" s="4" t="s">
        <v>2</v>
      </c>
      <c r="G7" s="4" t="s">
        <v>2</v>
      </c>
      <c r="H7" s="4" t="s">
        <v>2</v>
      </c>
      <c r="I7" s="4" t="s">
        <v>2</v>
      </c>
      <c r="J7" s="4" t="s">
        <v>3</v>
      </c>
      <c r="K7" s="4" t="s">
        <v>3</v>
      </c>
      <c r="L7" s="4" t="s">
        <v>3</v>
      </c>
      <c r="M7" s="4" t="s">
        <v>2</v>
      </c>
      <c r="N7" s="4" t="s">
        <v>2</v>
      </c>
      <c r="O7" s="5"/>
      <c r="P7" s="4" t="s">
        <v>2</v>
      </c>
      <c r="Q7" s="4" t="s">
        <v>3</v>
      </c>
      <c r="R7" s="4" t="s">
        <v>3</v>
      </c>
      <c r="S7" s="4" t="s">
        <v>2</v>
      </c>
      <c r="T7" s="5"/>
      <c r="U7" s="4" t="s">
        <v>3</v>
      </c>
      <c r="V7" s="4" t="s">
        <v>2</v>
      </c>
      <c r="W7" s="4" t="s">
        <v>2</v>
      </c>
    </row>
    <row r="8">
      <c r="B8" s="4" t="s">
        <v>8</v>
      </c>
      <c r="C8" s="4" t="s">
        <v>2</v>
      </c>
      <c r="D8" s="4" t="s">
        <v>3</v>
      </c>
      <c r="E8" s="4" t="s">
        <v>2</v>
      </c>
      <c r="F8" s="4" t="s">
        <v>2</v>
      </c>
      <c r="G8" s="4" t="s">
        <v>2</v>
      </c>
      <c r="H8" s="4" t="s">
        <v>2</v>
      </c>
      <c r="I8" s="4" t="s">
        <v>3</v>
      </c>
      <c r="J8" s="4" t="s">
        <v>2</v>
      </c>
      <c r="K8" s="4" t="s">
        <v>2</v>
      </c>
      <c r="L8" s="4" t="s">
        <v>2</v>
      </c>
      <c r="M8" s="4" t="s">
        <v>2</v>
      </c>
      <c r="N8" s="4" t="s">
        <v>2</v>
      </c>
      <c r="O8" s="4" t="s">
        <v>2</v>
      </c>
      <c r="P8" s="4" t="s">
        <v>2</v>
      </c>
      <c r="Q8" s="4" t="s">
        <v>2</v>
      </c>
      <c r="R8" s="4" t="s">
        <v>2</v>
      </c>
      <c r="S8" s="4" t="s">
        <v>2</v>
      </c>
      <c r="T8" s="4" t="s">
        <v>2</v>
      </c>
      <c r="U8" s="4" t="s">
        <v>2</v>
      </c>
      <c r="V8" s="4" t="s">
        <v>2</v>
      </c>
      <c r="W8" s="4" t="s">
        <v>2</v>
      </c>
    </row>
    <row r="9">
      <c r="B9" s="4" t="s">
        <v>9</v>
      </c>
      <c r="C9" s="4" t="s">
        <v>3</v>
      </c>
      <c r="D9" s="4" t="s">
        <v>3</v>
      </c>
      <c r="E9" s="4" t="s">
        <v>2</v>
      </c>
      <c r="F9" s="4" t="s">
        <v>2</v>
      </c>
      <c r="G9" s="4" t="s">
        <v>2</v>
      </c>
      <c r="H9" s="4" t="s">
        <v>2</v>
      </c>
      <c r="I9" s="4" t="s">
        <v>2</v>
      </c>
      <c r="J9" s="4" t="s">
        <v>2</v>
      </c>
      <c r="K9" s="4" t="s">
        <v>3</v>
      </c>
      <c r="L9" s="4" t="s">
        <v>2</v>
      </c>
      <c r="M9" s="4" t="s">
        <v>2</v>
      </c>
      <c r="N9" s="4" t="s">
        <v>2</v>
      </c>
      <c r="O9" s="4" t="s">
        <v>3</v>
      </c>
      <c r="P9" s="4" t="s">
        <v>2</v>
      </c>
      <c r="Q9" s="4" t="s">
        <v>3</v>
      </c>
      <c r="R9" s="4" t="s">
        <v>2</v>
      </c>
      <c r="S9" s="4" t="s">
        <v>3</v>
      </c>
      <c r="T9" s="4" t="s">
        <v>2</v>
      </c>
      <c r="U9" s="4" t="s">
        <v>2</v>
      </c>
      <c r="V9" s="4" t="s">
        <v>3</v>
      </c>
      <c r="W9" s="4" t="s">
        <v>2</v>
      </c>
    </row>
    <row r="10">
      <c r="B10" s="4" t="s">
        <v>10</v>
      </c>
      <c r="C10" s="4" t="s">
        <v>2</v>
      </c>
      <c r="D10" s="4" t="s">
        <v>3</v>
      </c>
      <c r="E10" s="4" t="s">
        <v>2</v>
      </c>
      <c r="F10" s="4" t="s">
        <v>2</v>
      </c>
      <c r="G10" s="4" t="s">
        <v>2</v>
      </c>
      <c r="H10" s="4" t="s">
        <v>2</v>
      </c>
      <c r="I10" s="4" t="s">
        <v>2</v>
      </c>
      <c r="J10" s="4" t="s">
        <v>2</v>
      </c>
      <c r="K10" s="4" t="s">
        <v>3</v>
      </c>
      <c r="L10" s="4" t="s">
        <v>2</v>
      </c>
      <c r="M10" s="4" t="s">
        <v>3</v>
      </c>
      <c r="N10" s="4" t="s">
        <v>2</v>
      </c>
      <c r="O10" s="4" t="s">
        <v>2</v>
      </c>
      <c r="P10" s="4" t="s">
        <v>2</v>
      </c>
      <c r="Q10" s="4" t="s">
        <v>2</v>
      </c>
      <c r="R10" s="4" t="s">
        <v>2</v>
      </c>
      <c r="S10" s="4" t="s">
        <v>2</v>
      </c>
      <c r="T10" s="4" t="s">
        <v>2</v>
      </c>
      <c r="U10" s="4" t="s">
        <v>3</v>
      </c>
      <c r="V10" s="4" t="s">
        <v>3</v>
      </c>
      <c r="W10" s="4" t="s">
        <v>2</v>
      </c>
    </row>
    <row r="11">
      <c r="B11" s="4" t="s">
        <v>11</v>
      </c>
      <c r="C11" s="4" t="s">
        <v>3</v>
      </c>
      <c r="D11" s="4" t="s">
        <v>2</v>
      </c>
      <c r="E11" s="4" t="s">
        <v>2</v>
      </c>
      <c r="F11" s="4" t="s">
        <v>2</v>
      </c>
      <c r="G11" s="4" t="s">
        <v>2</v>
      </c>
      <c r="H11" s="4" t="s">
        <v>2</v>
      </c>
      <c r="I11" s="4" t="s">
        <v>2</v>
      </c>
      <c r="J11" s="4" t="s">
        <v>2</v>
      </c>
      <c r="K11" s="4" t="s">
        <v>3</v>
      </c>
      <c r="L11" s="4" t="s">
        <v>2</v>
      </c>
      <c r="M11" s="4" t="s">
        <v>2</v>
      </c>
      <c r="N11" s="4" t="s">
        <v>2</v>
      </c>
      <c r="O11" s="4" t="s">
        <v>3</v>
      </c>
      <c r="P11" s="4" t="s">
        <v>2</v>
      </c>
      <c r="Q11" s="4" t="s">
        <v>2</v>
      </c>
      <c r="R11" s="4" t="s">
        <v>3</v>
      </c>
      <c r="S11" s="4" t="s">
        <v>3</v>
      </c>
      <c r="T11" s="4" t="s">
        <v>2</v>
      </c>
      <c r="U11" s="4" t="s">
        <v>3</v>
      </c>
      <c r="V11" s="4" t="s">
        <v>3</v>
      </c>
      <c r="W11" s="4" t="s">
        <v>3</v>
      </c>
    </row>
    <row r="12">
      <c r="B12" s="4" t="s">
        <v>12</v>
      </c>
      <c r="C12" s="4" t="s">
        <v>3</v>
      </c>
      <c r="D12" s="5"/>
      <c r="E12" s="4" t="s">
        <v>2</v>
      </c>
      <c r="F12" s="4" t="s">
        <v>2</v>
      </c>
      <c r="G12" s="4" t="s">
        <v>2</v>
      </c>
      <c r="H12" s="4" t="s">
        <v>2</v>
      </c>
      <c r="I12" s="5"/>
      <c r="J12" s="4" t="s">
        <v>2</v>
      </c>
      <c r="K12" s="4" t="s">
        <v>3</v>
      </c>
      <c r="L12" s="4" t="s">
        <v>2</v>
      </c>
      <c r="M12" s="4" t="s">
        <v>2</v>
      </c>
      <c r="N12" s="4" t="s">
        <v>2</v>
      </c>
      <c r="O12" s="4" t="s">
        <v>3</v>
      </c>
      <c r="P12" s="4" t="s">
        <v>2</v>
      </c>
      <c r="Q12" s="5"/>
      <c r="R12" s="4" t="s">
        <v>3</v>
      </c>
      <c r="S12" s="4" t="s">
        <v>2</v>
      </c>
      <c r="T12" s="4" t="s">
        <v>2</v>
      </c>
      <c r="U12" s="4" t="s">
        <v>3</v>
      </c>
      <c r="V12" s="4" t="s">
        <v>2</v>
      </c>
      <c r="W12" s="4" t="s">
        <v>2</v>
      </c>
    </row>
    <row r="13">
      <c r="B13" s="4" t="s">
        <v>13</v>
      </c>
      <c r="C13" s="4" t="s">
        <v>3</v>
      </c>
      <c r="D13" s="4" t="s">
        <v>2</v>
      </c>
      <c r="E13" s="4" t="s">
        <v>2</v>
      </c>
      <c r="F13" s="4" t="s">
        <v>3</v>
      </c>
      <c r="G13" s="4" t="s">
        <v>2</v>
      </c>
      <c r="H13" s="4" t="s">
        <v>2</v>
      </c>
      <c r="I13" s="4" t="s">
        <v>2</v>
      </c>
      <c r="J13" s="4" t="s">
        <v>2</v>
      </c>
      <c r="K13" s="4" t="s">
        <v>3</v>
      </c>
      <c r="L13" s="4" t="s">
        <v>2</v>
      </c>
      <c r="M13" s="4" t="s">
        <v>2</v>
      </c>
      <c r="N13" s="4" t="s">
        <v>2</v>
      </c>
      <c r="O13" s="4" t="s">
        <v>2</v>
      </c>
      <c r="P13" s="4" t="s">
        <v>2</v>
      </c>
      <c r="Q13" s="4" t="s">
        <v>2</v>
      </c>
      <c r="R13" s="4" t="s">
        <v>2</v>
      </c>
      <c r="S13" s="4" t="s">
        <v>2</v>
      </c>
      <c r="T13" s="4" t="s">
        <v>2</v>
      </c>
      <c r="U13" s="4" t="s">
        <v>3</v>
      </c>
      <c r="V13" s="4" t="s">
        <v>2</v>
      </c>
      <c r="W13" s="4" t="s">
        <v>2</v>
      </c>
    </row>
    <row r="16">
      <c r="B16" s="6" t="s">
        <v>2</v>
      </c>
      <c r="C16" s="7">
        <f t="shared" ref="C16:W16" si="1">COUNTIF(C3:C13,"Right")</f>
        <v>4</v>
      </c>
      <c r="D16" s="7">
        <f t="shared" si="1"/>
        <v>4</v>
      </c>
      <c r="E16" s="7">
        <f t="shared" si="1"/>
        <v>11</v>
      </c>
      <c r="F16" s="7">
        <f t="shared" si="1"/>
        <v>10</v>
      </c>
      <c r="G16" s="7">
        <f t="shared" si="1"/>
        <v>11</v>
      </c>
      <c r="H16" s="7">
        <f t="shared" si="1"/>
        <v>11</v>
      </c>
      <c r="I16" s="7">
        <f t="shared" si="1"/>
        <v>8</v>
      </c>
      <c r="J16" s="7">
        <f t="shared" si="1"/>
        <v>9</v>
      </c>
      <c r="K16" s="7">
        <f t="shared" si="1"/>
        <v>1</v>
      </c>
      <c r="L16" s="7">
        <f t="shared" si="1"/>
        <v>9</v>
      </c>
      <c r="M16" s="7">
        <f t="shared" si="1"/>
        <v>10</v>
      </c>
      <c r="N16" s="7">
        <f t="shared" si="1"/>
        <v>11</v>
      </c>
      <c r="O16" s="7">
        <f t="shared" si="1"/>
        <v>5</v>
      </c>
      <c r="P16" s="7">
        <f t="shared" si="1"/>
        <v>11</v>
      </c>
      <c r="Q16" s="7">
        <f t="shared" si="1"/>
        <v>5</v>
      </c>
      <c r="R16" s="7">
        <f t="shared" si="1"/>
        <v>5</v>
      </c>
      <c r="S16" s="7">
        <f t="shared" si="1"/>
        <v>8</v>
      </c>
      <c r="T16" s="7">
        <f t="shared" si="1"/>
        <v>10</v>
      </c>
      <c r="U16" s="7">
        <f t="shared" si="1"/>
        <v>3</v>
      </c>
      <c r="V16" s="7">
        <f t="shared" si="1"/>
        <v>5</v>
      </c>
      <c r="W16" s="7">
        <f t="shared" si="1"/>
        <v>6</v>
      </c>
    </row>
    <row r="17">
      <c r="B17" s="6" t="s">
        <v>3</v>
      </c>
      <c r="C17" s="7">
        <f t="shared" ref="C17:W17" si="2">COUNTIF(C3:C13,"Left")</f>
        <v>7</v>
      </c>
      <c r="D17" s="7">
        <f t="shared" si="2"/>
        <v>5</v>
      </c>
      <c r="E17" s="7">
        <f t="shared" si="2"/>
        <v>0</v>
      </c>
      <c r="F17" s="7">
        <f t="shared" si="2"/>
        <v>1</v>
      </c>
      <c r="G17" s="7">
        <f t="shared" si="2"/>
        <v>0</v>
      </c>
      <c r="H17" s="7">
        <f t="shared" si="2"/>
        <v>0</v>
      </c>
      <c r="I17" s="7">
        <f t="shared" si="2"/>
        <v>2</v>
      </c>
      <c r="J17" s="7">
        <f t="shared" si="2"/>
        <v>2</v>
      </c>
      <c r="K17" s="7">
        <f t="shared" si="2"/>
        <v>10</v>
      </c>
      <c r="L17" s="7">
        <f t="shared" si="2"/>
        <v>2</v>
      </c>
      <c r="M17" s="7">
        <f t="shared" si="2"/>
        <v>1</v>
      </c>
      <c r="N17" s="7">
        <f t="shared" si="2"/>
        <v>0</v>
      </c>
      <c r="O17" s="7">
        <f t="shared" si="2"/>
        <v>5</v>
      </c>
      <c r="P17" s="7">
        <f t="shared" si="2"/>
        <v>0</v>
      </c>
      <c r="Q17" s="7">
        <f t="shared" si="2"/>
        <v>5</v>
      </c>
      <c r="R17" s="7">
        <f t="shared" si="2"/>
        <v>6</v>
      </c>
      <c r="S17" s="7">
        <f t="shared" si="2"/>
        <v>3</v>
      </c>
      <c r="T17" s="7">
        <f t="shared" si="2"/>
        <v>0</v>
      </c>
      <c r="U17" s="7">
        <f t="shared" si="2"/>
        <v>8</v>
      </c>
      <c r="V17" s="7">
        <f t="shared" si="2"/>
        <v>5</v>
      </c>
      <c r="W17" s="7">
        <f t="shared" si="2"/>
        <v>5</v>
      </c>
      <c r="X17" s="8" t="s">
        <v>14</v>
      </c>
    </row>
    <row r="18">
      <c r="B18" s="6" t="s">
        <v>15</v>
      </c>
      <c r="C18" s="7">
        <f t="shared" ref="C18:W18" si="3">Max(C16:C17)/SUM(C16:C17)</f>
        <v>0.6363636364</v>
      </c>
      <c r="D18" s="7">
        <f t="shared" si="3"/>
        <v>0.5555555556</v>
      </c>
      <c r="E18" s="7">
        <f t="shared" si="3"/>
        <v>1</v>
      </c>
      <c r="F18" s="7">
        <f t="shared" si="3"/>
        <v>0.9090909091</v>
      </c>
      <c r="G18" s="7">
        <f t="shared" si="3"/>
        <v>1</v>
      </c>
      <c r="H18" s="7">
        <f t="shared" si="3"/>
        <v>1</v>
      </c>
      <c r="I18" s="7">
        <f t="shared" si="3"/>
        <v>0.8</v>
      </c>
      <c r="J18" s="7">
        <f t="shared" si="3"/>
        <v>0.8181818182</v>
      </c>
      <c r="K18" s="7">
        <f t="shared" si="3"/>
        <v>0.9090909091</v>
      </c>
      <c r="L18" s="7">
        <f t="shared" si="3"/>
        <v>0.8181818182</v>
      </c>
      <c r="M18" s="7">
        <f t="shared" si="3"/>
        <v>0.9090909091</v>
      </c>
      <c r="N18" s="7">
        <f t="shared" si="3"/>
        <v>1</v>
      </c>
      <c r="O18" s="7">
        <f t="shared" si="3"/>
        <v>0.5</v>
      </c>
      <c r="P18" s="7">
        <f t="shared" si="3"/>
        <v>1</v>
      </c>
      <c r="Q18" s="7">
        <f t="shared" si="3"/>
        <v>0.5</v>
      </c>
      <c r="R18" s="7">
        <f t="shared" si="3"/>
        <v>0.5454545455</v>
      </c>
      <c r="S18" s="7">
        <f t="shared" si="3"/>
        <v>0.7272727273</v>
      </c>
      <c r="T18" s="7">
        <f t="shared" si="3"/>
        <v>1</v>
      </c>
      <c r="U18" s="7">
        <f t="shared" si="3"/>
        <v>0.7272727273</v>
      </c>
      <c r="V18" s="7">
        <f t="shared" si="3"/>
        <v>0.5</v>
      </c>
      <c r="W18" s="7">
        <f t="shared" si="3"/>
        <v>0.5454545455</v>
      </c>
      <c r="X18" s="7">
        <f>sum(C18:W18)/COUNT(C18:W18)</f>
        <v>0.781000481</v>
      </c>
    </row>
    <row r="19">
      <c r="B19" s="6" t="s">
        <v>16</v>
      </c>
      <c r="C19" s="7" t="str">
        <f t="shared" ref="C19:Q19" si="4">if(C16&gt;C17,"PR","BASE")</f>
        <v>BASE</v>
      </c>
      <c r="D19" s="7" t="str">
        <f t="shared" si="4"/>
        <v>BASE</v>
      </c>
      <c r="E19" s="7" t="str">
        <f t="shared" si="4"/>
        <v>PR</v>
      </c>
      <c r="F19" s="7" t="str">
        <f t="shared" si="4"/>
        <v>PR</v>
      </c>
      <c r="G19" s="7" t="str">
        <f t="shared" si="4"/>
        <v>PR</v>
      </c>
      <c r="H19" s="7" t="str">
        <f t="shared" si="4"/>
        <v>PR</v>
      </c>
      <c r="I19" s="7" t="str">
        <f t="shared" si="4"/>
        <v>PR</v>
      </c>
      <c r="J19" s="7" t="str">
        <f t="shared" si="4"/>
        <v>PR</v>
      </c>
      <c r="K19" s="7" t="str">
        <f t="shared" si="4"/>
        <v>BASE</v>
      </c>
      <c r="L19" s="7" t="str">
        <f t="shared" si="4"/>
        <v>PR</v>
      </c>
      <c r="M19" s="7" t="str">
        <f t="shared" si="4"/>
        <v>PR</v>
      </c>
      <c r="N19" s="7" t="str">
        <f t="shared" si="4"/>
        <v>PR</v>
      </c>
      <c r="O19" s="7" t="str">
        <f t="shared" si="4"/>
        <v>BASE</v>
      </c>
      <c r="P19" s="7" t="str">
        <f t="shared" si="4"/>
        <v>PR</v>
      </c>
      <c r="Q19" s="7" t="str">
        <f t="shared" si="4"/>
        <v>BASE</v>
      </c>
      <c r="R19" s="7" t="str">
        <f>if(R16&gt;R17,"Ghidra","HexRays")</f>
        <v>HexRays</v>
      </c>
      <c r="S19" s="7" t="str">
        <f>if(S16&gt;S17,"BinaryNinja","HexRays")</f>
        <v>BinaryNinja</v>
      </c>
      <c r="T19" s="7" t="str">
        <f>if(T16&gt;T17,"BinaryNinja","Ghidra")</f>
        <v>BinaryNinja</v>
      </c>
      <c r="U19" s="7" t="str">
        <f>if(U16&gt;U17,"Ghidra","HexRays")</f>
        <v>HexRays</v>
      </c>
      <c r="V19" s="7" t="str">
        <f>if(V16&gt;V17,"BinaryNinja","HexRays")</f>
        <v>HexRays</v>
      </c>
      <c r="W19" s="7" t="str">
        <f>if(W16&gt;W17,"BinaryNinja","Ghidra")</f>
        <v>BinaryNinja</v>
      </c>
    </row>
    <row r="21">
      <c r="B21" s="6" t="s">
        <v>17</v>
      </c>
      <c r="C21" s="6" t="s">
        <v>18</v>
      </c>
      <c r="D21" s="6" t="s">
        <v>19</v>
      </c>
      <c r="E21" s="6" t="s">
        <v>19</v>
      </c>
      <c r="F21" s="6" t="s">
        <v>19</v>
      </c>
      <c r="G21" s="6" t="s">
        <v>19</v>
      </c>
      <c r="H21" s="6" t="s">
        <v>20</v>
      </c>
      <c r="I21" s="6" t="s">
        <v>19</v>
      </c>
      <c r="J21" s="6" t="s">
        <v>19</v>
      </c>
      <c r="K21" s="6" t="s">
        <v>18</v>
      </c>
      <c r="L21" s="6" t="s">
        <v>20</v>
      </c>
      <c r="M21" s="6" t="s">
        <v>19</v>
      </c>
      <c r="N21" s="6" t="s">
        <v>19</v>
      </c>
      <c r="O21" s="6" t="s">
        <v>20</v>
      </c>
      <c r="P21" s="6" t="s">
        <v>19</v>
      </c>
      <c r="Q21" s="6" t="s">
        <v>19</v>
      </c>
      <c r="R21" s="6" t="s">
        <v>20</v>
      </c>
      <c r="S21" s="6" t="s">
        <v>21</v>
      </c>
      <c r="T21" s="6" t="s">
        <v>22</v>
      </c>
      <c r="U21" s="6" t="s">
        <v>22</v>
      </c>
      <c r="V21" s="6" t="s">
        <v>20</v>
      </c>
      <c r="W21" s="6" t="s">
        <v>23</v>
      </c>
      <c r="X21" s="7">
        <f t="shared" ref="X21:X24" si="5">sum(C28:W28)/COUNT(C28:W28)</f>
        <v>0.6428571429</v>
      </c>
    </row>
    <row r="22">
      <c r="B22" s="6" t="s">
        <v>24</v>
      </c>
      <c r="C22" s="6" t="s">
        <v>18</v>
      </c>
      <c r="D22" s="6" t="s">
        <v>18</v>
      </c>
      <c r="E22" s="6" t="s">
        <v>19</v>
      </c>
      <c r="F22" s="6" t="s">
        <v>18</v>
      </c>
      <c r="G22" s="6" t="s">
        <v>19</v>
      </c>
      <c r="H22" s="6" t="s">
        <v>19</v>
      </c>
      <c r="I22" s="6" t="s">
        <v>19</v>
      </c>
      <c r="J22" s="6" t="s">
        <v>19</v>
      </c>
      <c r="K22" s="6" t="s">
        <v>19</v>
      </c>
      <c r="L22" s="6" t="s">
        <v>20</v>
      </c>
      <c r="M22" s="6" t="s">
        <v>20</v>
      </c>
      <c r="N22" s="6" t="s">
        <v>18</v>
      </c>
      <c r="O22" s="6" t="s">
        <v>20</v>
      </c>
      <c r="P22" s="6" t="s">
        <v>19</v>
      </c>
      <c r="Q22" s="6" t="s">
        <v>18</v>
      </c>
      <c r="R22" s="6" t="s">
        <v>21</v>
      </c>
      <c r="S22" s="6" t="s">
        <v>21</v>
      </c>
      <c r="T22" s="6" t="s">
        <v>23</v>
      </c>
      <c r="U22" s="6" t="s">
        <v>22</v>
      </c>
      <c r="V22" s="6" t="s">
        <v>21</v>
      </c>
      <c r="W22" s="6" t="s">
        <v>23</v>
      </c>
      <c r="X22" s="7">
        <f t="shared" si="5"/>
        <v>0.6904761905</v>
      </c>
    </row>
    <row r="23">
      <c r="B23" s="6" t="s">
        <v>25</v>
      </c>
      <c r="C23" s="6" t="s">
        <v>18</v>
      </c>
      <c r="D23" s="6" t="s">
        <v>18</v>
      </c>
      <c r="E23" s="6" t="s">
        <v>19</v>
      </c>
      <c r="F23" s="6" t="s">
        <v>19</v>
      </c>
      <c r="G23" s="6" t="s">
        <v>19</v>
      </c>
      <c r="H23" s="6" t="s">
        <v>19</v>
      </c>
      <c r="I23" s="6" t="s">
        <v>20</v>
      </c>
      <c r="J23" s="6" t="s">
        <v>19</v>
      </c>
      <c r="K23" s="6" t="s">
        <v>18</v>
      </c>
      <c r="L23" s="6" t="s">
        <v>20</v>
      </c>
      <c r="M23" s="6" t="s">
        <v>19</v>
      </c>
      <c r="N23" s="6" t="s">
        <v>19</v>
      </c>
      <c r="O23" s="6" t="s">
        <v>19</v>
      </c>
      <c r="P23" s="6" t="s">
        <v>19</v>
      </c>
      <c r="Q23" s="6" t="s">
        <v>19</v>
      </c>
      <c r="R23" s="6" t="s">
        <v>20</v>
      </c>
      <c r="S23" s="6" t="s">
        <v>20</v>
      </c>
      <c r="T23" s="6" t="s">
        <v>20</v>
      </c>
      <c r="U23" s="6" t="s">
        <v>22</v>
      </c>
      <c r="V23" s="6" t="s">
        <v>21</v>
      </c>
      <c r="W23" s="6" t="s">
        <v>23</v>
      </c>
      <c r="X23" s="7">
        <f t="shared" si="5"/>
        <v>0.7380952381</v>
      </c>
    </row>
    <row r="24">
      <c r="B24" s="6" t="s">
        <v>26</v>
      </c>
      <c r="C24" s="6" t="s">
        <v>18</v>
      </c>
      <c r="D24" s="6" t="s">
        <v>18</v>
      </c>
      <c r="E24" s="6" t="s">
        <v>20</v>
      </c>
      <c r="F24" s="6" t="s">
        <v>20</v>
      </c>
      <c r="G24" s="6" t="s">
        <v>19</v>
      </c>
      <c r="H24" s="6" t="s">
        <v>19</v>
      </c>
      <c r="I24" s="6" t="s">
        <v>20</v>
      </c>
      <c r="J24" s="6" t="s">
        <v>20</v>
      </c>
      <c r="K24" s="6" t="s">
        <v>20</v>
      </c>
      <c r="L24" s="6" t="s">
        <v>18</v>
      </c>
      <c r="M24" s="6" t="s">
        <v>19</v>
      </c>
      <c r="N24" s="6" t="s">
        <v>19</v>
      </c>
      <c r="O24" s="6" t="s">
        <v>18</v>
      </c>
      <c r="P24" s="6" t="s">
        <v>19</v>
      </c>
      <c r="Q24" s="6" t="s">
        <v>18</v>
      </c>
      <c r="R24" s="6" t="s">
        <v>20</v>
      </c>
      <c r="S24" s="6" t="s">
        <v>21</v>
      </c>
      <c r="T24" s="6" t="s">
        <v>23</v>
      </c>
      <c r="U24" s="6" t="s">
        <v>20</v>
      </c>
      <c r="V24" s="6" t="s">
        <v>21</v>
      </c>
      <c r="W24" s="6" t="s">
        <v>23</v>
      </c>
      <c r="X24" s="7">
        <f t="shared" si="5"/>
        <v>0.7380952381</v>
      </c>
    </row>
    <row r="28">
      <c r="C28" s="7">
        <f t="shared" ref="C28:W28" si="6">IFS(C21=C$19, 1, C21="TIE", 0.5, TRUE, 0)</f>
        <v>1</v>
      </c>
      <c r="D28" s="7">
        <f t="shared" si="6"/>
        <v>0</v>
      </c>
      <c r="E28" s="7">
        <f t="shared" si="6"/>
        <v>1</v>
      </c>
      <c r="F28" s="7">
        <f t="shared" si="6"/>
        <v>1</v>
      </c>
      <c r="G28" s="7">
        <f t="shared" si="6"/>
        <v>1</v>
      </c>
      <c r="H28" s="7">
        <f t="shared" si="6"/>
        <v>0.5</v>
      </c>
      <c r="I28" s="7">
        <f t="shared" si="6"/>
        <v>1</v>
      </c>
      <c r="J28" s="7">
        <f t="shared" si="6"/>
        <v>1</v>
      </c>
      <c r="K28" s="7">
        <f t="shared" si="6"/>
        <v>1</v>
      </c>
      <c r="L28" s="7">
        <f t="shared" si="6"/>
        <v>0.5</v>
      </c>
      <c r="M28" s="7">
        <f t="shared" si="6"/>
        <v>1</v>
      </c>
      <c r="N28" s="7">
        <f t="shared" si="6"/>
        <v>1</v>
      </c>
      <c r="O28" s="7">
        <f t="shared" si="6"/>
        <v>0.5</v>
      </c>
      <c r="P28" s="7">
        <f t="shared" si="6"/>
        <v>1</v>
      </c>
      <c r="Q28" s="7">
        <f t="shared" si="6"/>
        <v>0</v>
      </c>
      <c r="R28" s="7">
        <f t="shared" si="6"/>
        <v>0.5</v>
      </c>
      <c r="S28" s="7">
        <f t="shared" si="6"/>
        <v>0</v>
      </c>
      <c r="T28" s="7">
        <f t="shared" si="6"/>
        <v>0</v>
      </c>
      <c r="U28" s="7">
        <f t="shared" si="6"/>
        <v>0</v>
      </c>
      <c r="V28" s="7">
        <f t="shared" si="6"/>
        <v>0.5</v>
      </c>
      <c r="W28" s="7">
        <f t="shared" si="6"/>
        <v>1</v>
      </c>
    </row>
    <row r="29">
      <c r="C29" s="7">
        <f t="shared" ref="C29:W29" si="7">IFS(C22=C$19, 1, C22="TIE", 0.5, TRUE, 0)</f>
        <v>1</v>
      </c>
      <c r="D29" s="7">
        <f t="shared" si="7"/>
        <v>1</v>
      </c>
      <c r="E29" s="7">
        <f t="shared" si="7"/>
        <v>1</v>
      </c>
      <c r="F29" s="7">
        <f t="shared" si="7"/>
        <v>0</v>
      </c>
      <c r="G29" s="7">
        <f t="shared" si="7"/>
        <v>1</v>
      </c>
      <c r="H29" s="7">
        <f t="shared" si="7"/>
        <v>1</v>
      </c>
      <c r="I29" s="7">
        <f t="shared" si="7"/>
        <v>1</v>
      </c>
      <c r="J29" s="7">
        <f t="shared" si="7"/>
        <v>1</v>
      </c>
      <c r="K29" s="7">
        <f t="shared" si="7"/>
        <v>0</v>
      </c>
      <c r="L29" s="7">
        <f t="shared" si="7"/>
        <v>0.5</v>
      </c>
      <c r="M29" s="7">
        <f t="shared" si="7"/>
        <v>0.5</v>
      </c>
      <c r="N29" s="7">
        <f t="shared" si="7"/>
        <v>0</v>
      </c>
      <c r="O29" s="7">
        <f t="shared" si="7"/>
        <v>0.5</v>
      </c>
      <c r="P29" s="7">
        <f t="shared" si="7"/>
        <v>1</v>
      </c>
      <c r="Q29" s="7">
        <f t="shared" si="7"/>
        <v>1</v>
      </c>
      <c r="R29" s="7">
        <f t="shared" si="7"/>
        <v>1</v>
      </c>
      <c r="S29" s="7">
        <f t="shared" si="7"/>
        <v>0</v>
      </c>
      <c r="T29" s="7">
        <f t="shared" si="7"/>
        <v>1</v>
      </c>
      <c r="U29" s="7">
        <f t="shared" si="7"/>
        <v>0</v>
      </c>
      <c r="V29" s="7">
        <f t="shared" si="7"/>
        <v>1</v>
      </c>
      <c r="W29" s="7">
        <f t="shared" si="7"/>
        <v>1</v>
      </c>
    </row>
    <row r="30">
      <c r="C30" s="7">
        <f t="shared" ref="C30:W30" si="8">IFS(C23=C$19, 1, C23="TIE", 0.5, TRUE, 0)</f>
        <v>1</v>
      </c>
      <c r="D30" s="7">
        <f t="shared" si="8"/>
        <v>1</v>
      </c>
      <c r="E30" s="7">
        <f t="shared" si="8"/>
        <v>1</v>
      </c>
      <c r="F30" s="7">
        <f t="shared" si="8"/>
        <v>1</v>
      </c>
      <c r="G30" s="7">
        <f t="shared" si="8"/>
        <v>1</v>
      </c>
      <c r="H30" s="7">
        <f t="shared" si="8"/>
        <v>1</v>
      </c>
      <c r="I30" s="7">
        <f t="shared" si="8"/>
        <v>0.5</v>
      </c>
      <c r="J30" s="7">
        <f t="shared" si="8"/>
        <v>1</v>
      </c>
      <c r="K30" s="7">
        <f t="shared" si="8"/>
        <v>1</v>
      </c>
      <c r="L30" s="7">
        <f t="shared" si="8"/>
        <v>0.5</v>
      </c>
      <c r="M30" s="7">
        <f t="shared" si="8"/>
        <v>1</v>
      </c>
      <c r="N30" s="7">
        <f t="shared" si="8"/>
        <v>1</v>
      </c>
      <c r="O30" s="7">
        <f t="shared" si="8"/>
        <v>0</v>
      </c>
      <c r="P30" s="7">
        <f t="shared" si="8"/>
        <v>1</v>
      </c>
      <c r="Q30" s="7">
        <f t="shared" si="8"/>
        <v>0</v>
      </c>
      <c r="R30" s="7">
        <f t="shared" si="8"/>
        <v>0.5</v>
      </c>
      <c r="S30" s="7">
        <f t="shared" si="8"/>
        <v>0.5</v>
      </c>
      <c r="T30" s="7">
        <f t="shared" si="8"/>
        <v>0.5</v>
      </c>
      <c r="U30" s="7">
        <f t="shared" si="8"/>
        <v>0</v>
      </c>
      <c r="V30" s="7">
        <f t="shared" si="8"/>
        <v>1</v>
      </c>
      <c r="W30" s="7">
        <f t="shared" si="8"/>
        <v>1</v>
      </c>
    </row>
    <row r="31">
      <c r="C31" s="7">
        <f t="shared" ref="C31:W31" si="9">IFS(C24=C$19, 1, C24="TIE", 0.5, TRUE, 0)</f>
        <v>1</v>
      </c>
      <c r="D31" s="7">
        <f t="shared" si="9"/>
        <v>1</v>
      </c>
      <c r="E31" s="7">
        <f t="shared" si="9"/>
        <v>0.5</v>
      </c>
      <c r="F31" s="7">
        <f t="shared" si="9"/>
        <v>0.5</v>
      </c>
      <c r="G31" s="7">
        <f t="shared" si="9"/>
        <v>1</v>
      </c>
      <c r="H31" s="7">
        <f t="shared" si="9"/>
        <v>1</v>
      </c>
      <c r="I31" s="7">
        <f t="shared" si="9"/>
        <v>0.5</v>
      </c>
      <c r="J31" s="7">
        <f t="shared" si="9"/>
        <v>0.5</v>
      </c>
      <c r="K31" s="7">
        <f t="shared" si="9"/>
        <v>0.5</v>
      </c>
      <c r="L31" s="7">
        <f t="shared" si="9"/>
        <v>0</v>
      </c>
      <c r="M31" s="7">
        <f t="shared" si="9"/>
        <v>1</v>
      </c>
      <c r="N31" s="7">
        <f t="shared" si="9"/>
        <v>1</v>
      </c>
      <c r="O31" s="7">
        <f t="shared" si="9"/>
        <v>1</v>
      </c>
      <c r="P31" s="7">
        <f t="shared" si="9"/>
        <v>1</v>
      </c>
      <c r="Q31" s="7">
        <f t="shared" si="9"/>
        <v>1</v>
      </c>
      <c r="R31" s="7">
        <f t="shared" si="9"/>
        <v>0.5</v>
      </c>
      <c r="S31" s="7">
        <f t="shared" si="9"/>
        <v>0</v>
      </c>
      <c r="T31" s="7">
        <f t="shared" si="9"/>
        <v>1</v>
      </c>
      <c r="U31" s="7">
        <f t="shared" si="9"/>
        <v>0.5</v>
      </c>
      <c r="V31" s="7">
        <f t="shared" si="9"/>
        <v>1</v>
      </c>
      <c r="W31" s="7">
        <f t="shared" si="9"/>
        <v>1</v>
      </c>
    </row>
    <row r="35">
      <c r="B35" s="6" t="s">
        <v>27</v>
      </c>
      <c r="C35" s="7">
        <f t="shared" ref="C35:Q35" si="10">if(C19="BASE", 0, 1)</f>
        <v>0</v>
      </c>
      <c r="D35" s="7">
        <f t="shared" si="10"/>
        <v>0</v>
      </c>
      <c r="E35" s="7">
        <f t="shared" si="10"/>
        <v>1</v>
      </c>
      <c r="F35" s="7">
        <f t="shared" si="10"/>
        <v>1</v>
      </c>
      <c r="G35" s="7">
        <f t="shared" si="10"/>
        <v>1</v>
      </c>
      <c r="H35" s="7">
        <f t="shared" si="10"/>
        <v>1</v>
      </c>
      <c r="I35" s="7">
        <f t="shared" si="10"/>
        <v>1</v>
      </c>
      <c r="J35" s="7">
        <f t="shared" si="10"/>
        <v>1</v>
      </c>
      <c r="K35" s="7">
        <f t="shared" si="10"/>
        <v>0</v>
      </c>
      <c r="L35" s="7">
        <f t="shared" si="10"/>
        <v>1</v>
      </c>
      <c r="M35" s="7">
        <f t="shared" si="10"/>
        <v>1</v>
      </c>
      <c r="N35" s="7">
        <f t="shared" si="10"/>
        <v>1</v>
      </c>
      <c r="O35" s="7">
        <f t="shared" si="10"/>
        <v>0</v>
      </c>
      <c r="P35" s="7">
        <f t="shared" si="10"/>
        <v>1</v>
      </c>
      <c r="Q35" s="7">
        <f t="shared" si="10"/>
        <v>0</v>
      </c>
    </row>
    <row r="36">
      <c r="B36" s="6" t="s">
        <v>28</v>
      </c>
      <c r="C36" s="6">
        <v>0.0</v>
      </c>
      <c r="D36" s="6">
        <v>-0.0156</v>
      </c>
      <c r="E36" s="6">
        <v>-0.0156</v>
      </c>
      <c r="F36" s="6">
        <v>0.0</v>
      </c>
      <c r="G36" s="6">
        <v>0.0</v>
      </c>
      <c r="H36" s="6">
        <v>-0.0468</v>
      </c>
      <c r="I36" s="6">
        <v>-0.039</v>
      </c>
      <c r="J36" s="6">
        <v>-0.0156</v>
      </c>
      <c r="K36" s="6">
        <v>-0.5312</v>
      </c>
      <c r="L36" s="6">
        <v>0.0156</v>
      </c>
      <c r="M36" s="6">
        <v>-0.0312</v>
      </c>
      <c r="N36" s="6">
        <v>-0.0312</v>
      </c>
      <c r="O36" s="6">
        <v>0.0312</v>
      </c>
      <c r="P36" s="6">
        <v>0.0625</v>
      </c>
      <c r="Q36" s="6">
        <v>0.0</v>
      </c>
    </row>
    <row r="37">
      <c r="B37" s="6" t="s">
        <v>29</v>
      </c>
      <c r="C37" s="6">
        <v>-0.1875</v>
      </c>
      <c r="D37" s="6">
        <v>0.0</v>
      </c>
      <c r="E37" s="6">
        <v>0.0312</v>
      </c>
      <c r="F37" s="6">
        <v>-0.0312</v>
      </c>
      <c r="G37" s="6">
        <v>0.0</v>
      </c>
      <c r="H37" s="6">
        <v>-0.0781</v>
      </c>
      <c r="I37" s="6">
        <v>0.0156</v>
      </c>
      <c r="J37" s="6">
        <v>-0.0156</v>
      </c>
      <c r="K37" s="6">
        <v>-0.3203</v>
      </c>
      <c r="L37" s="6">
        <v>0.0625</v>
      </c>
      <c r="M37" s="6">
        <v>0.0</v>
      </c>
      <c r="N37" s="6">
        <v>-0.0312</v>
      </c>
      <c r="O37" s="6">
        <v>0.0439</v>
      </c>
      <c r="P37" s="6">
        <v>0.125</v>
      </c>
      <c r="Q37" s="6">
        <v>0.0</v>
      </c>
    </row>
  </sheetData>
  <drawing r:id="rId1"/>
</worksheet>
</file>